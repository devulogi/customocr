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erformance by Scale" sheetId="2" r:id="rId2"/>
    <sheet name="Function Breakdown" sheetId="3" r:id="rId3"/>
    <sheet name="Performance Summary" sheetId="4" r:id="rId4"/>
    <sheet name="Cost Analysis" sheetId="5" r:id="rId5"/>
    <sheet name="Pricing Breakdown" sheetId="6" r:id="rId6"/>
    <sheet name="Optimization Options" sheetId="7" r:id="rId7"/>
    <sheet name="Technical Specifications" sheetId="8" r:id="rId8"/>
    <sheet name="Competitive Analysis" sheetId="9" r:id="rId9"/>
    <sheet name="Risk Assessment" sheetId="10" r:id="rId10"/>
  </sheets>
  <calcPr calcId="124519" fullCalcOnLoad="1"/>
</workbook>
</file>

<file path=xl/sharedStrings.xml><?xml version="1.0" encoding="utf-8"?>
<sst xmlns="http://schemas.openxmlformats.org/spreadsheetml/2006/main" count="740" uniqueCount="286">
  <si>
    <t>Metric</t>
  </si>
  <si>
    <t>Value</t>
  </si>
  <si>
    <t>Business Impact</t>
  </si>
  <si>
    <t>Current Performance (10 pages)</t>
  </si>
  <si>
    <t>Cold Start Penalty</t>
  </si>
  <si>
    <t>Warm Processing Speed</t>
  </si>
  <si>
    <t>Optimal Batch Size</t>
  </si>
  <si>
    <t>Large Scale Efficiency (2800 pages)</t>
  </si>
  <si>
    <t>Cost per Page (Warm)</t>
  </si>
  <si>
    <t>Recommended Architecture</t>
  </si>
  <si>
    <t>25.4 seconds</t>
  </si>
  <si>
    <t>20 seconds (one-time)</t>
  </si>
  <si>
    <t>0.5 seconds/page</t>
  </si>
  <si>
    <t>100-500 pages</t>
  </si>
  <si>
    <t>98% efficient</t>
  </si>
  <si>
    <t>$0.0018</t>
  </si>
  <si>
    <t>Event-driven with SNS/SQS</t>
  </si>
  <si>
    <t>Acceptable for medium documents</t>
  </si>
  <si>
    <t>Major bottleneck for small jobs</t>
  </si>
  <si>
    <t>Excellent throughput when warm</t>
  </si>
  <si>
    <t>Balances speed and cost</t>
  </si>
  <si>
    <t>Scales efficiently to enterprise</t>
  </si>
  <si>
    <t>Cost-effective processing</t>
  </si>
  <si>
    <t>Production-ready architecture</t>
  </si>
  <si>
    <t>Pages</t>
  </si>
  <si>
    <t>Batches</t>
  </si>
  <si>
    <t>Cold Start (s)</t>
  </si>
  <si>
    <t>Processing Time (s)</t>
  </si>
  <si>
    <t>Total Time (s)</t>
  </si>
  <si>
    <t>Time per Page (s)</t>
  </si>
  <si>
    <t>Efficiency (%)</t>
  </si>
  <si>
    <t>Cold Start Penalty (%)</t>
  </si>
  <si>
    <t>Total Cost ($)</t>
  </si>
  <si>
    <t>Cost per Page ($)</t>
  </si>
  <si>
    <t>Throughput (pages/min)</t>
  </si>
  <si>
    <t>Function</t>
  </si>
  <si>
    <t>Time (s)</t>
  </si>
  <si>
    <t>Frequency</t>
  </si>
  <si>
    <t>Category</t>
  </si>
  <si>
    <t>Optimization</t>
  </si>
  <si>
    <t>get_models()</t>
  </si>
  <si>
    <t>fitz.open() + doc.load_page()</t>
  </si>
  <si>
    <t>page.get_pixmap() + tobytes()</t>
  </si>
  <si>
    <t>cv2.imdecode()</t>
  </si>
  <si>
    <t>should_enhance_image()</t>
  </si>
  <si>
    <t>enhance_image_for_ocr()</t>
  </si>
  <si>
    <t>cv2.convertScaleAbs()</t>
  </si>
  <si>
    <t>cv2.fastNlMeansDenoisingColored()</t>
  </si>
  <si>
    <t>cv2.resize()</t>
  </si>
  <si>
    <t>ocr.predict() - PaddleOCR</t>
  </si>
  <si>
    <t>structure_pipeline.predict() - PPStructureV3</t>
  </si>
  <si>
    <t>process_image_in_memory()</t>
  </si>
  <si>
    <t>create_spatial_index()</t>
  </si>
  <si>
    <t>find_matching_structure()</t>
  </si>
  <si>
    <t>bbox_overlap()</t>
  </si>
  <si>
    <t>combine_ocr_and_structure()</t>
  </si>
  <si>
    <t>is_quality_content()</t>
  </si>
  <si>
    <t>build_hierarchical_structure()</t>
  </si>
  <si>
    <t>create_semantic_chunks()</t>
  </si>
  <si>
    <t>create_chunk()</t>
  </si>
  <si>
    <t>save_chunks_for_vectorization()</t>
  </si>
  <si>
    <t>json.dumps() - Response</t>
  </si>
  <si>
    <t>Once per container</t>
  </si>
  <si>
    <t>Per page</t>
  </si>
  <si>
    <t>Per page (conditional)</t>
  </si>
  <si>
    <t>Per page (if enhanced)</t>
  </si>
  <si>
    <t>Per page (if needed)</t>
  </si>
  <si>
    <t>Per OCR element</t>
  </si>
  <si>
    <t>Per overlap check</t>
  </si>
  <si>
    <t>Per element</t>
  </si>
  <si>
    <t>Per chunk</t>
  </si>
  <si>
    <t>Per batch</t>
  </si>
  <si>
    <t>Cold Start</t>
  </si>
  <si>
    <t>PDF Processing</t>
  </si>
  <si>
    <t>Image Enhancement</t>
  </si>
  <si>
    <t>OCR Inference</t>
  </si>
  <si>
    <t>Structure Analysis</t>
  </si>
  <si>
    <t>Structure Processing</t>
  </si>
  <si>
    <t>Quality Filtering</t>
  </si>
  <si>
    <t>Hierarchy Building</t>
  </si>
  <si>
    <t>Semantic Chunking</t>
  </si>
  <si>
    <t>I/O Operations</t>
  </si>
  <si>
    <t>Provisioned Concurrency</t>
  </si>
  <si>
    <t>Already optimized</t>
  </si>
  <si>
    <t>Early exit optimization</t>
  </si>
  <si>
    <t>Skip for high-quality images</t>
  </si>
  <si>
    <t>OpenCV optimized</t>
  </si>
  <si>
    <t>Reduced parameters</t>
  </si>
  <si>
    <t>Adaptive sizing</t>
  </si>
  <si>
    <t>Use mobile models</t>
  </si>
  <si>
    <t>Optional for simple docs</t>
  </si>
  <si>
    <t>No temp files</t>
  </si>
  <si>
    <t>Spatial indexing</t>
  </si>
  <si>
    <t>Early exit + spatial search</t>
  </si>
  <si>
    <t>Optimized loops</t>
  </si>
  <si>
    <t>Single-pass analysis</t>
  </si>
  <si>
    <t>Optimized sorting</t>
  </si>
  <si>
    <t>Pre-filtering + binary search</t>
  </si>
  <si>
    <t>Minimal allocations</t>
  </si>
  <si>
    <t>Percentage</t>
  </si>
  <si>
    <t>Optimization Priority</t>
  </si>
  <si>
    <t>80%</t>
  </si>
  <si>
    <t>10.2%</t>
  </si>
  <si>
    <t>6%</t>
  </si>
  <si>
    <t>4.2%</t>
  </si>
  <si>
    <t>2.1%</t>
  </si>
  <si>
    <t>0.8%</t>
  </si>
  <si>
    <t>0.3%</t>
  </si>
  <si>
    <t>0.7%</t>
  </si>
  <si>
    <t>0.02%</t>
  </si>
  <si>
    <t>0.6%</t>
  </si>
  <si>
    <t>High</t>
  </si>
  <si>
    <t>Medium</t>
  </si>
  <si>
    <t>Low</t>
  </si>
  <si>
    <t>None</t>
  </si>
  <si>
    <t>Scenario</t>
  </si>
  <si>
    <t>Avg Pages per Doc</t>
  </si>
  <si>
    <t>Monthly Documents</t>
  </si>
  <si>
    <t>Monthly Pages</t>
  </si>
  <si>
    <t>Cost per Document ($)</t>
  </si>
  <si>
    <t>Cost Formula</t>
  </si>
  <si>
    <t>Monthly Cost ($)</t>
  </si>
  <si>
    <t>Annual Cost ($)</t>
  </si>
  <si>
    <t>Processing Time per Doc (min)</t>
  </si>
  <si>
    <t>Monthly Processing Hours</t>
  </si>
  <si>
    <t>Small Documents (1-50 pages)</t>
  </si>
  <si>
    <t>Medium Documents (50-500 pages)</t>
  </si>
  <si>
    <t>Large Documents (500+ pages)</t>
  </si>
  <si>
    <t>Enterprise Scale</t>
  </si>
  <si>
    <t>(32.5s × 3GB × $0.0000166667) + (2 batches × $0.0000002)</t>
  </si>
  <si>
    <t>(145.0s × 3GB × $0.0000166667) + (25 batches × $0.0000002)</t>
  </si>
  <si>
    <t>(770.0s × 3GB × $0.0000166667) + (150 batches × $0.0000002)</t>
  </si>
  <si>
    <t>(2520.0s × 3GB × $0.0000166667) + (500 batches × $0.0000002)</t>
  </si>
  <si>
    <t>Component</t>
  </si>
  <si>
    <t>Rate</t>
  </si>
  <si>
    <t>Basis</t>
  </si>
  <si>
    <t>Formula</t>
  </si>
  <si>
    <t>Impact</t>
  </si>
  <si>
    <t>Lambda Compute</t>
  </si>
  <si>
    <t>Lambda Requests</t>
  </si>
  <si>
    <t>Memory Allocation</t>
  </si>
  <si>
    <t>Processing Time</t>
  </si>
  <si>
    <t>Batch Size</t>
  </si>
  <si>
    <t>$0.0000166667 per GB-second</t>
  </si>
  <si>
    <t>$0.0000002 per request</t>
  </si>
  <si>
    <t>AWS Lambda pricing for 3GB memory allocation</t>
  </si>
  <si>
    <t>AWS Lambda pricing for invocations</t>
  </si>
  <si>
    <t>Required for PaddleOCR models in memory</t>
  </si>
  <si>
    <t>Measured performance: 0.5s per page + one-time cold start</t>
  </si>
  <si>
    <t>Current architecture design for optimal performance</t>
  </si>
  <si>
    <t>Model loading time measured in testing</t>
  </si>
  <si>
    <t>3GB (3008MB)</t>
  </si>
  <si>
    <t>10 pages per Lambda</t>
  </si>
  <si>
    <t>Pages × 0.5s + 20s cold start</t>
  </si>
  <si>
    <t>20s per container</t>
  </si>
  <si>
    <t>Cost</t>
  </si>
  <si>
    <t>Time Savings</t>
  </si>
  <si>
    <t>ROI</t>
  </si>
  <si>
    <t>Implementation</t>
  </si>
  <si>
    <t>Timeline</t>
  </si>
  <si>
    <t>Timeline Reason</t>
  </si>
  <si>
    <t>Increase Batch Size to 50 pages</t>
  </si>
  <si>
    <t>OCR-Only Mode</t>
  </si>
  <si>
    <t>Mobile OCR Models</t>
  </si>
  <si>
    <t>Parallel Processing</t>
  </si>
  <si>
    <t>Eliminates cold start</t>
  </si>
  <si>
    <t>Reduces cold start impact</t>
  </si>
  <si>
    <t>40% faster processing</t>
  </si>
  <si>
    <t>50% faster inference</t>
  </si>
  <si>
    <t>Linear speedup</t>
  </si>
  <si>
    <t>+$50-200/month</t>
  </si>
  <si>
    <t>Neutral</t>
  </si>
  <si>
    <t>Reduces by 30%</t>
  </si>
  <si>
    <t>Reduces by 40%</t>
  </si>
  <si>
    <t>Same per page</t>
  </si>
  <si>
    <t>5-20 instances × $0.0000097 per GB-second × 3GB × 2,592,000s/month</t>
  </si>
  <si>
    <t>Same total processing time, fewer Lambda invocations</t>
  </si>
  <si>
    <t>Saves 0.15s per page × $0.00005 per second</t>
  </si>
  <si>
    <t>Saves 0.2s per page × $0.00005 per second</t>
  </si>
  <si>
    <t>Same total compute, distributed across multiple Lambdas</t>
  </si>
  <si>
    <t>20s per job</t>
  </si>
  <si>
    <t>15-20s per job</t>
  </si>
  <si>
    <t>0.15s per page</t>
  </si>
  <si>
    <t>0.2s per page</t>
  </si>
  <si>
    <t>Up to 10x faster</t>
  </si>
  <si>
    <t>High for frequent use</t>
  </si>
  <si>
    <t>Very High</t>
  </si>
  <si>
    <t>High for simple docs</t>
  </si>
  <si>
    <t>Medium (accuracy trade-off)</t>
  </si>
  <si>
    <t>AWS Console setting</t>
  </si>
  <si>
    <t>Code change</t>
  </si>
  <si>
    <t>Feature flag</t>
  </si>
  <si>
    <t>Model configuration</t>
  </si>
  <si>
    <t>Architecture change</t>
  </si>
  <si>
    <t>1 day</t>
  </si>
  <si>
    <t>2-3 days</t>
  </si>
  <si>
    <t>1 week</t>
  </si>
  <si>
    <t>1-2 weeks</t>
  </si>
  <si>
    <t>2-4 weeks</t>
  </si>
  <si>
    <t>Simple AWS console configuration change</t>
  </si>
  <si>
    <t>Code modification + testing + deployment</t>
  </si>
  <si>
    <t>Feature flag implementation + A/B testing</t>
  </si>
  <si>
    <t>Model testing + accuracy validation + deployment</t>
  </si>
  <si>
    <t>Architecture redesign + SQS/SNS setup + testing + deployment</t>
  </si>
  <si>
    <t>Specification</t>
  </si>
  <si>
    <t>Notes</t>
  </si>
  <si>
    <t>Runtime</t>
  </si>
  <si>
    <t>Memory</t>
  </si>
  <si>
    <t>Timeout</t>
  </si>
  <si>
    <t>Package Size</t>
  </si>
  <si>
    <t>OCR Engine</t>
  </si>
  <si>
    <t>Image Processing</t>
  </si>
  <si>
    <t>Concurrency</t>
  </si>
  <si>
    <t>Storage</t>
  </si>
  <si>
    <t>Python 3.9</t>
  </si>
  <si>
    <t>3008 MB</t>
  </si>
  <si>
    <t>15 minutes</t>
  </si>
  <si>
    <t>~500 MB</t>
  </si>
  <si>
    <t>PaddleOCR v2.7</t>
  </si>
  <si>
    <t>PPStructureV3</t>
  </si>
  <si>
    <t>OpenCV 4.8</t>
  </si>
  <si>
    <t>PyMuPDF</t>
  </si>
  <si>
    <t>1000 (default)</t>
  </si>
  <si>
    <t>S3 + Elasticsearch</t>
  </si>
  <si>
    <t>Latest supported version</t>
  </si>
  <si>
    <t>Required for ML models</t>
  </si>
  <si>
    <t>Maximum Lambda limit</t>
  </si>
  <si>
    <t>PaddleOCR models</t>
  </si>
  <si>
    <t>State-of-the-art accuracy</t>
  </si>
  <si>
    <t>Document layout detection</t>
  </si>
  <si>
    <t>Optimized operations</t>
  </si>
  <si>
    <t>Fast PDF rendering</t>
  </si>
  <si>
    <t>Can be increased</t>
  </si>
  <si>
    <t>Scalable architecture</t>
  </si>
  <si>
    <t>Solution</t>
  </si>
  <si>
    <t>Speed (pages/min)</t>
  </si>
  <si>
    <t>Accuracy</t>
  </si>
  <si>
    <t>Cost per 1000 pages</t>
  </si>
  <si>
    <t>Scalability</t>
  </si>
  <si>
    <t>Maintenance</t>
  </si>
  <si>
    <t>Current Lambda Implementation</t>
  </si>
  <si>
    <t>AWS Textract</t>
  </si>
  <si>
    <t>Google Document AI</t>
  </si>
  <si>
    <t>Azure Form Recognizer</t>
  </si>
  <si>
    <t>On-Premise Tesseract</t>
  </si>
  <si>
    <t>95%+</t>
  </si>
  <si>
    <t>90%</t>
  </si>
  <si>
    <t>92%</t>
  </si>
  <si>
    <t>88%</t>
  </si>
  <si>
    <t>75%</t>
  </si>
  <si>
    <t>$1.80</t>
  </si>
  <si>
    <t>$15.00</t>
  </si>
  <si>
    <t>$12.00</t>
  </si>
  <si>
    <t>$10.00</t>
  </si>
  <si>
    <t>$0.50</t>
  </si>
  <si>
    <t>Excellent</t>
  </si>
  <si>
    <t>Good</t>
  </si>
  <si>
    <t>Poor</t>
  </si>
  <si>
    <t>Risk</t>
  </si>
  <si>
    <t>Probability</t>
  </si>
  <si>
    <t>Mitigation</t>
  </si>
  <si>
    <t>Cost Basis</t>
  </si>
  <si>
    <t>Cold Start Latency</t>
  </si>
  <si>
    <t>Lambda Timeout (15 min)</t>
  </si>
  <si>
    <t>Model Accuracy Degradation</t>
  </si>
  <si>
    <t>Concurrent Execution Limits</t>
  </si>
  <si>
    <t>Storage Costs (Large Scale)</t>
  </si>
  <si>
    <t>Batch size limits</t>
  </si>
  <si>
    <t>A/B testing, monitoring</t>
  </si>
  <si>
    <t>Request limit increase</t>
  </si>
  <si>
    <t>Data lifecycle policies</t>
  </si>
  <si>
    <t>$100/month</t>
  </si>
  <si>
    <t>$500/month</t>
  </si>
  <si>
    <t>Savings</t>
  </si>
  <si>
    <t>10 instances × $0.0000097/GB-s × 3GB × 2,592,000s</t>
  </si>
  <si>
    <t>Configuration change only</t>
  </si>
  <si>
    <t>CloudWatch monitoring + additional compute for A/B testing</t>
  </si>
  <si>
    <t>AWS support request, no additional charges</t>
  </si>
  <si>
    <t>Automated S3 lifecycle transitions reduce storage costs</t>
  </si>
  <si>
    <t>Immediate</t>
  </si>
  <si>
    <t>2 weeks</t>
  </si>
  <si>
    <t>AWS console configuration, no code changes required</t>
  </si>
  <si>
    <t>Simple parameter adjustment in existing code</t>
  </si>
  <si>
    <t>Setup monitoring infrastructure + implement A/B framework</t>
  </si>
  <si>
    <t>AWS support ticket processing time + approval</t>
  </si>
  <si>
    <t>S3 lifecycle policy configuration + 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</si>
</sst>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Processing Time vs Document Size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Time</c:v>
          </c:tx>
          <c:marker>
            <c:symbol val="none"/>
          </c:marker>
          <c:cat>
            <c:numRef>
              <c:f>'Performance by Scale'!$A$2:$A$6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cat>
          <c:val>
            <c:numRef>
              <c:f>'Performance by Scale'!$E$2:$E$6</c:f>
              <c:numCache>
                <c:formatCode>General</c:formatCode>
                <c:ptCount val="5"/>
                <c:pt idx="0">
                  <c:v>20.5</c:v>
                </c:pt>
                <c:pt idx="1">
                  <c:v>25</c:v>
                </c:pt>
                <c:pt idx="2">
                  <c:v>70</c:v>
                </c:pt>
                <c:pt idx="3">
                  <c:v>520</c:v>
                </c:pt>
                <c:pt idx="4">
                  <c:v>5020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Pages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(seconds)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by Document Size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Efficiency %</c:v>
          </c:tx>
          <c:cat>
            <c:numRef>
              <c:f>'Performance by Scale'!$A$2:$A$6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cat>
          <c:val>
            <c:numRef>
              <c:f>'Performance by Scale'!$G$2:$G$6</c:f>
              <c:numCache>
                <c:formatCode>General</c:formatCode>
                <c:ptCount val="5"/>
                <c:pt idx="0">
                  <c:v>2.439024390243902</c:v>
                </c:pt>
                <c:pt idx="1">
                  <c:v>20</c:v>
                </c:pt>
                <c:pt idx="2">
                  <c:v>71.42857142857143</c:v>
                </c:pt>
                <c:pt idx="3">
                  <c:v>96.15384615384616</c:v>
                </c:pt>
                <c:pt idx="4">
                  <c:v>99.60159362549801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Pages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Efficiency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19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19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7.7109375" customWidth="1"/>
    <col min="2" max="2" width="27.7109375" customWidth="1"/>
    <col min="3" max="3" width="3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10</v>
      </c>
      <c r="C2" s="2" t="s">
        <v>17</v>
      </c>
    </row>
    <row r="3" spans="1:3">
      <c r="A3" s="2" t="s">
        <v>4</v>
      </c>
      <c r="B3" s="2" t="s">
        <v>11</v>
      </c>
      <c r="C3" s="2" t="s">
        <v>18</v>
      </c>
    </row>
    <row r="4" spans="1:3">
      <c r="A4" s="2" t="s">
        <v>5</v>
      </c>
      <c r="B4" s="2" t="s">
        <v>12</v>
      </c>
      <c r="C4" s="2" t="s">
        <v>19</v>
      </c>
    </row>
    <row r="5" spans="1:3">
      <c r="A5" s="2" t="s">
        <v>6</v>
      </c>
      <c r="B5" s="2" t="s">
        <v>13</v>
      </c>
      <c r="C5" s="2" t="s">
        <v>20</v>
      </c>
    </row>
    <row r="6" spans="1:3">
      <c r="A6" s="2" t="s">
        <v>7</v>
      </c>
      <c r="B6" s="2" t="s">
        <v>14</v>
      </c>
      <c r="C6" s="2" t="s">
        <v>21</v>
      </c>
    </row>
    <row r="7" spans="1:3">
      <c r="A7" s="2" t="s">
        <v>8</v>
      </c>
      <c r="B7" s="2" t="s">
        <v>15</v>
      </c>
      <c r="C7" s="2" t="s">
        <v>22</v>
      </c>
    </row>
    <row r="8" spans="1:3">
      <c r="A8" s="2" t="s">
        <v>9</v>
      </c>
      <c r="B8" s="2" t="s">
        <v>16</v>
      </c>
      <c r="C8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7.7109375" customWidth="1"/>
    <col min="2" max="2" width="9.7109375" customWidth="1"/>
    <col min="3" max="3" width="16.7109375" customWidth="1"/>
    <col min="4" max="4" width="21.7109375" customWidth="1"/>
    <col min="5" max="5" width="16.7109375" customWidth="1"/>
    <col min="6" max="6" width="19.7109375" customWidth="1"/>
    <col min="7" max="7" width="20.7109375" customWidth="1"/>
    <col min="8" max="8" width="24.7109375" customWidth="1"/>
    <col min="9" max="9" width="22.7109375" customWidth="1"/>
    <col min="10" max="10" width="19.7109375" customWidth="1"/>
    <col min="11" max="11" width="24.7109375" customWidth="1"/>
  </cols>
  <sheetData>
    <row r="1" spans="1:1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>
      <c r="A2" s="2">
        <v>1</v>
      </c>
      <c r="B2" s="2">
        <v>1</v>
      </c>
      <c r="C2" s="2">
        <v>20</v>
      </c>
      <c r="D2" s="2">
        <v>0.5</v>
      </c>
      <c r="E2" s="2">
        <v>20.5</v>
      </c>
      <c r="F2" s="2">
        <v>20.5</v>
      </c>
      <c r="G2" s="2">
        <v>2.439024390243902</v>
      </c>
      <c r="H2" s="2">
        <v>97.5609756097561</v>
      </c>
      <c r="I2" s="2">
        <v>0.00102520205</v>
      </c>
      <c r="J2" s="2">
        <v>0.00102520205</v>
      </c>
      <c r="K2" s="2">
        <v>2.926829268292683</v>
      </c>
    </row>
    <row r="3" spans="1:11">
      <c r="A3" s="2">
        <v>10</v>
      </c>
      <c r="B3" s="2">
        <v>1</v>
      </c>
      <c r="C3" s="2">
        <v>20</v>
      </c>
      <c r="D3" s="2">
        <v>5</v>
      </c>
      <c r="E3" s="2">
        <v>25</v>
      </c>
      <c r="F3" s="2">
        <v>2.5</v>
      </c>
      <c r="G3" s="2">
        <v>20</v>
      </c>
      <c r="H3" s="2">
        <v>80</v>
      </c>
      <c r="I3" s="2">
        <v>0.0012502025</v>
      </c>
      <c r="J3" s="2">
        <v>0.00012502025</v>
      </c>
      <c r="K3" s="2">
        <v>24</v>
      </c>
    </row>
    <row r="4" spans="1:11">
      <c r="A4" s="2">
        <v>100</v>
      </c>
      <c r="B4" s="2">
        <v>10</v>
      </c>
      <c r="C4" s="2">
        <v>20</v>
      </c>
      <c r="D4" s="2">
        <v>50</v>
      </c>
      <c r="E4" s="2">
        <v>70</v>
      </c>
      <c r="F4" s="2">
        <v>0.7</v>
      </c>
      <c r="G4" s="2">
        <v>71.42857142857143</v>
      </c>
      <c r="H4" s="2">
        <v>28.57142857142857</v>
      </c>
      <c r="I4" s="2">
        <v>0.003502007</v>
      </c>
      <c r="J4" s="2">
        <v>3.502007E-05</v>
      </c>
      <c r="K4" s="2">
        <v>85.71428571428572</v>
      </c>
    </row>
    <row r="5" spans="1:11">
      <c r="A5" s="2">
        <v>1000</v>
      </c>
      <c r="B5" s="2">
        <v>100</v>
      </c>
      <c r="C5" s="2">
        <v>20</v>
      </c>
      <c r="D5" s="2">
        <v>500</v>
      </c>
      <c r="E5" s="2">
        <v>520</v>
      </c>
      <c r="F5" s="2">
        <v>0.52</v>
      </c>
      <c r="G5" s="2">
        <v>96.15384615384616</v>
      </c>
      <c r="H5" s="2">
        <v>3.846153846153846</v>
      </c>
      <c r="I5" s="2">
        <v>0.026020052</v>
      </c>
      <c r="J5" s="2">
        <v>2.6020052E-05</v>
      </c>
      <c r="K5" s="2">
        <v>115.3846153846154</v>
      </c>
    </row>
    <row r="6" spans="1:11">
      <c r="A6" s="2">
        <v>10000</v>
      </c>
      <c r="B6" s="2">
        <v>1000</v>
      </c>
      <c r="C6" s="2">
        <v>20</v>
      </c>
      <c r="D6" s="2">
        <v>5000</v>
      </c>
      <c r="E6" s="2">
        <v>5020</v>
      </c>
      <c r="F6" s="2">
        <v>0.502</v>
      </c>
      <c r="G6" s="2">
        <v>99.60159362549801</v>
      </c>
      <c r="H6" s="2">
        <v>0.398406374501992</v>
      </c>
      <c r="I6" s="2">
        <v>0.251200502</v>
      </c>
      <c r="J6" s="2">
        <v>2.51200502E-05</v>
      </c>
      <c r="K6" s="2">
        <v>119.5219123505976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46.7109375" customWidth="1"/>
    <col min="2" max="2" width="10.7109375" customWidth="1"/>
    <col min="3" max="3" width="24.7109375" customWidth="1"/>
    <col min="4" max="4" width="22.7109375" customWidth="1"/>
    <col min="5" max="5" width="31.7109375" customWidth="1"/>
  </cols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2" t="s">
        <v>40</v>
      </c>
      <c r="B2" s="2">
        <v>20</v>
      </c>
      <c r="C2" s="2" t="s">
        <v>62</v>
      </c>
      <c r="D2" s="2" t="s">
        <v>72</v>
      </c>
      <c r="E2" s="2" t="s">
        <v>82</v>
      </c>
    </row>
    <row r="3" spans="1:5">
      <c r="A3" s="2" t="s">
        <v>41</v>
      </c>
      <c r="B3" s="2">
        <v>0.08</v>
      </c>
      <c r="C3" s="2" t="s">
        <v>63</v>
      </c>
      <c r="D3" s="2" t="s">
        <v>73</v>
      </c>
      <c r="E3" s="2" t="s">
        <v>83</v>
      </c>
    </row>
    <row r="4" spans="1:5">
      <c r="A4" s="2" t="s">
        <v>42</v>
      </c>
      <c r="B4" s="2">
        <v>0.02</v>
      </c>
      <c r="C4" s="2" t="s">
        <v>63</v>
      </c>
      <c r="D4" s="2" t="s">
        <v>73</v>
      </c>
      <c r="E4" s="2" t="s">
        <v>83</v>
      </c>
    </row>
    <row r="5" spans="1:5">
      <c r="A5" s="2" t="s">
        <v>43</v>
      </c>
      <c r="B5" s="2">
        <v>0.005</v>
      </c>
      <c r="C5" s="2" t="s">
        <v>63</v>
      </c>
      <c r="D5" s="2" t="s">
        <v>73</v>
      </c>
      <c r="E5" s="2" t="s">
        <v>83</v>
      </c>
    </row>
    <row r="6" spans="1:5">
      <c r="A6" s="2" t="s">
        <v>44</v>
      </c>
      <c r="B6" s="2">
        <v>0.003</v>
      </c>
      <c r="C6" s="2" t="s">
        <v>63</v>
      </c>
      <c r="D6" s="2" t="s">
        <v>74</v>
      </c>
      <c r="E6" s="2" t="s">
        <v>84</v>
      </c>
    </row>
    <row r="7" spans="1:5">
      <c r="A7" s="2" t="s">
        <v>45</v>
      </c>
      <c r="B7" s="2">
        <v>0.05</v>
      </c>
      <c r="C7" s="2" t="s">
        <v>64</v>
      </c>
      <c r="D7" s="2" t="s">
        <v>74</v>
      </c>
      <c r="E7" s="2" t="s">
        <v>85</v>
      </c>
    </row>
    <row r="8" spans="1:5">
      <c r="A8" s="2" t="s">
        <v>46</v>
      </c>
      <c r="B8" s="2">
        <v>0.01</v>
      </c>
      <c r="C8" s="2" t="s">
        <v>65</v>
      </c>
      <c r="D8" s="2" t="s">
        <v>74</v>
      </c>
      <c r="E8" s="2" t="s">
        <v>86</v>
      </c>
    </row>
    <row r="9" spans="1:5">
      <c r="A9" s="2" t="s">
        <v>47</v>
      </c>
      <c r="B9" s="2">
        <v>0.03</v>
      </c>
      <c r="C9" s="2" t="s">
        <v>65</v>
      </c>
      <c r="D9" s="2" t="s">
        <v>74</v>
      </c>
      <c r="E9" s="2" t="s">
        <v>87</v>
      </c>
    </row>
    <row r="10" spans="1:5">
      <c r="A10" s="2" t="s">
        <v>48</v>
      </c>
      <c r="B10" s="2">
        <v>0.01</v>
      </c>
      <c r="C10" s="2" t="s">
        <v>66</v>
      </c>
      <c r="D10" s="2" t="s">
        <v>74</v>
      </c>
      <c r="E10" s="2" t="s">
        <v>88</v>
      </c>
    </row>
    <row r="11" spans="1:5">
      <c r="A11" s="2" t="s">
        <v>49</v>
      </c>
      <c r="B11" s="2">
        <v>0.25</v>
      </c>
      <c r="C11" s="2" t="s">
        <v>63</v>
      </c>
      <c r="D11" s="2" t="s">
        <v>75</v>
      </c>
      <c r="E11" s="2" t="s">
        <v>89</v>
      </c>
    </row>
    <row r="12" spans="1:5">
      <c r="A12" s="2" t="s">
        <v>50</v>
      </c>
      <c r="B12" s="2">
        <v>0.15</v>
      </c>
      <c r="C12" s="2" t="s">
        <v>63</v>
      </c>
      <c r="D12" s="2" t="s">
        <v>76</v>
      </c>
      <c r="E12" s="2" t="s">
        <v>90</v>
      </c>
    </row>
    <row r="13" spans="1:5">
      <c r="A13" s="2" t="s">
        <v>51</v>
      </c>
      <c r="B13" s="2">
        <v>0.005</v>
      </c>
      <c r="C13" s="2" t="s">
        <v>63</v>
      </c>
      <c r="D13" s="2" t="s">
        <v>75</v>
      </c>
      <c r="E13" s="2" t="s">
        <v>91</v>
      </c>
    </row>
    <row r="14" spans="1:5">
      <c r="A14" s="2" t="s">
        <v>52</v>
      </c>
      <c r="B14" s="2">
        <v>0.002</v>
      </c>
      <c r="C14" s="2" t="s">
        <v>63</v>
      </c>
      <c r="D14" s="2" t="s">
        <v>77</v>
      </c>
      <c r="E14" s="2" t="s">
        <v>92</v>
      </c>
    </row>
    <row r="15" spans="1:5">
      <c r="A15" s="2" t="s">
        <v>53</v>
      </c>
      <c r="B15" s="2">
        <v>0.008</v>
      </c>
      <c r="C15" s="2" t="s">
        <v>67</v>
      </c>
      <c r="D15" s="2" t="s">
        <v>77</v>
      </c>
      <c r="E15" s="2" t="s">
        <v>93</v>
      </c>
    </row>
    <row r="16" spans="1:5">
      <c r="A16" s="2" t="s">
        <v>54</v>
      </c>
      <c r="B16" s="2">
        <v>0.0001</v>
      </c>
      <c r="C16" s="2" t="s">
        <v>68</v>
      </c>
      <c r="D16" s="2" t="s">
        <v>77</v>
      </c>
      <c r="E16" s="2" t="s">
        <v>84</v>
      </c>
    </row>
    <row r="17" spans="1:5">
      <c r="A17" s="2" t="s">
        <v>55</v>
      </c>
      <c r="B17" s="2">
        <v>0.01</v>
      </c>
      <c r="C17" s="2" t="s">
        <v>63</v>
      </c>
      <c r="D17" s="2" t="s">
        <v>77</v>
      </c>
      <c r="E17" s="2" t="s">
        <v>94</v>
      </c>
    </row>
    <row r="18" spans="1:5">
      <c r="A18" s="2" t="s">
        <v>56</v>
      </c>
      <c r="B18" s="2">
        <v>0.0005</v>
      </c>
      <c r="C18" s="2" t="s">
        <v>69</v>
      </c>
      <c r="D18" s="2" t="s">
        <v>78</v>
      </c>
      <c r="E18" s="2" t="s">
        <v>95</v>
      </c>
    </row>
    <row r="19" spans="1:5">
      <c r="A19" s="2" t="s">
        <v>57</v>
      </c>
      <c r="B19" s="2">
        <v>0.008</v>
      </c>
      <c r="C19" s="2" t="s">
        <v>63</v>
      </c>
      <c r="D19" s="2" t="s">
        <v>79</v>
      </c>
      <c r="E19" s="2" t="s">
        <v>96</v>
      </c>
    </row>
    <row r="20" spans="1:5">
      <c r="A20" s="2" t="s">
        <v>58</v>
      </c>
      <c r="B20" s="2">
        <v>0.015</v>
      </c>
      <c r="C20" s="2" t="s">
        <v>63</v>
      </c>
      <c r="D20" s="2" t="s">
        <v>80</v>
      </c>
      <c r="E20" s="2" t="s">
        <v>97</v>
      </c>
    </row>
    <row r="21" spans="1:5">
      <c r="A21" s="2" t="s">
        <v>59</v>
      </c>
      <c r="B21" s="2">
        <v>0.002</v>
      </c>
      <c r="C21" s="2" t="s">
        <v>70</v>
      </c>
      <c r="D21" s="2" t="s">
        <v>80</v>
      </c>
      <c r="E21" s="2" t="s">
        <v>98</v>
      </c>
    </row>
    <row r="22" spans="1:5">
      <c r="A22" s="2" t="s">
        <v>60</v>
      </c>
      <c r="B22" s="2">
        <v>0.01</v>
      </c>
      <c r="C22" s="2" t="s">
        <v>71</v>
      </c>
      <c r="D22" s="2" t="s">
        <v>81</v>
      </c>
      <c r="E22" s="2" t="s">
        <v>83</v>
      </c>
    </row>
    <row r="23" spans="1:5">
      <c r="A23" s="2" t="s">
        <v>61</v>
      </c>
      <c r="B23" s="2">
        <v>0.005</v>
      </c>
      <c r="C23" s="2" t="s">
        <v>71</v>
      </c>
      <c r="D23" s="2" t="s">
        <v>81</v>
      </c>
      <c r="E2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2.7109375" customWidth="1"/>
    <col min="2" max="2" width="16.7109375" customWidth="1"/>
    <col min="3" max="3" width="12.7109375" customWidth="1"/>
    <col min="4" max="4" width="23.7109375" customWidth="1"/>
  </cols>
  <sheetData>
    <row r="1" spans="1:4">
      <c r="A1" s="1" t="s">
        <v>38</v>
      </c>
      <c r="B1" s="1" t="s">
        <v>28</v>
      </c>
      <c r="C1" s="1" t="s">
        <v>99</v>
      </c>
      <c r="D1" s="1" t="s">
        <v>100</v>
      </c>
    </row>
    <row r="2" spans="1:4">
      <c r="A2" s="2" t="s">
        <v>72</v>
      </c>
      <c r="B2" s="2">
        <v>20</v>
      </c>
      <c r="C2" s="2" t="s">
        <v>101</v>
      </c>
      <c r="D2" s="2" t="s">
        <v>111</v>
      </c>
    </row>
    <row r="3" spans="1:4">
      <c r="A3" s="2" t="s">
        <v>75</v>
      </c>
      <c r="B3" s="2">
        <v>0.255</v>
      </c>
      <c r="C3" s="2" t="s">
        <v>102</v>
      </c>
      <c r="D3" s="2" t="s">
        <v>112</v>
      </c>
    </row>
    <row r="4" spans="1:4">
      <c r="A4" s="2" t="s">
        <v>76</v>
      </c>
      <c r="B4" s="2">
        <v>0.15</v>
      </c>
      <c r="C4" s="2" t="s">
        <v>103</v>
      </c>
      <c r="D4" s="2" t="s">
        <v>112</v>
      </c>
    </row>
    <row r="5" spans="1:4">
      <c r="A5" s="2" t="s">
        <v>73</v>
      </c>
      <c r="B5" s="2">
        <v>0.105</v>
      </c>
      <c r="C5" s="2" t="s">
        <v>104</v>
      </c>
      <c r="D5" s="2" t="s">
        <v>113</v>
      </c>
    </row>
    <row r="6" spans="1:4">
      <c r="A6" s="2" t="s">
        <v>74</v>
      </c>
      <c r="B6" s="2">
        <v>0.053</v>
      </c>
      <c r="C6" s="2" t="s">
        <v>105</v>
      </c>
      <c r="D6" s="2" t="s">
        <v>113</v>
      </c>
    </row>
    <row r="7" spans="1:4">
      <c r="A7" s="2" t="s">
        <v>77</v>
      </c>
      <c r="B7" s="2">
        <v>0.0202</v>
      </c>
      <c r="C7" s="2" t="s">
        <v>106</v>
      </c>
      <c r="D7" s="2" t="s">
        <v>113</v>
      </c>
    </row>
    <row r="8" spans="1:4">
      <c r="A8" s="2" t="s">
        <v>79</v>
      </c>
      <c r="B8" s="2">
        <v>0.008</v>
      </c>
      <c r="C8" s="2" t="s">
        <v>107</v>
      </c>
      <c r="D8" s="2" t="s">
        <v>113</v>
      </c>
    </row>
    <row r="9" spans="1:4">
      <c r="A9" s="2" t="s">
        <v>80</v>
      </c>
      <c r="B9" s="2">
        <v>0.017</v>
      </c>
      <c r="C9" s="2" t="s">
        <v>108</v>
      </c>
      <c r="D9" s="2" t="s">
        <v>113</v>
      </c>
    </row>
    <row r="10" spans="1:4">
      <c r="A10" s="2" t="s">
        <v>78</v>
      </c>
      <c r="B10" s="2">
        <v>0.0005</v>
      </c>
      <c r="C10" s="2" t="s">
        <v>109</v>
      </c>
      <c r="D10" s="2" t="s">
        <v>114</v>
      </c>
    </row>
    <row r="11" spans="1:4">
      <c r="A11" s="2" t="s">
        <v>81</v>
      </c>
      <c r="B11" s="2">
        <v>0.015</v>
      </c>
      <c r="C11" s="2" t="s">
        <v>110</v>
      </c>
      <c r="D11" s="2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33.7109375" customWidth="1"/>
    <col min="2" max="3" width="19.7109375" customWidth="1"/>
    <col min="4" max="4" width="15.7109375" customWidth="1"/>
    <col min="5" max="5" width="23.7109375" customWidth="1"/>
    <col min="6" max="6" width="50.7109375" customWidth="1"/>
    <col min="7" max="8" width="20.7109375" customWidth="1"/>
    <col min="9" max="9" width="31.7109375" customWidth="1"/>
    <col min="10" max="10" width="26.7109375" customWidth="1"/>
  </cols>
  <sheetData>
    <row r="1" spans="1:10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</row>
    <row r="2" spans="1:10">
      <c r="A2" s="2" t="s">
        <v>125</v>
      </c>
      <c r="B2" s="2">
        <v>25</v>
      </c>
      <c r="C2" s="2">
        <v>1000</v>
      </c>
      <c r="D2" s="2">
        <v>25000</v>
      </c>
      <c r="E2" s="2">
        <v>0.00162540325</v>
      </c>
      <c r="F2" s="2" t="s">
        <v>129</v>
      </c>
      <c r="G2" s="2">
        <v>1.62540325</v>
      </c>
      <c r="H2" s="2">
        <v>19.504839</v>
      </c>
      <c r="I2" s="2">
        <v>0.5416666666666666</v>
      </c>
      <c r="J2" s="2">
        <v>9.027777777777779</v>
      </c>
    </row>
    <row r="3" spans="1:10">
      <c r="A3" s="2" t="s">
        <v>126</v>
      </c>
      <c r="B3" s="2">
        <v>250</v>
      </c>
      <c r="C3" s="2">
        <v>500</v>
      </c>
      <c r="D3" s="2">
        <v>125000</v>
      </c>
      <c r="E3" s="2">
        <v>0.0072550145</v>
      </c>
      <c r="F3" s="2" t="s">
        <v>130</v>
      </c>
      <c r="G3" s="2">
        <v>3.62750725</v>
      </c>
      <c r="H3" s="2">
        <v>43.530087</v>
      </c>
      <c r="I3" s="2">
        <v>2.416666666666667</v>
      </c>
      <c r="J3" s="2">
        <v>20.13888888888889</v>
      </c>
    </row>
    <row r="4" spans="1:10">
      <c r="A4" s="2" t="s">
        <v>127</v>
      </c>
      <c r="B4" s="2">
        <v>1500</v>
      </c>
      <c r="C4" s="2">
        <v>100</v>
      </c>
      <c r="D4" s="2">
        <v>150000</v>
      </c>
      <c r="E4" s="2">
        <v>0.038530077</v>
      </c>
      <c r="F4" s="2" t="s">
        <v>131</v>
      </c>
      <c r="G4" s="2">
        <v>3.8530077</v>
      </c>
      <c r="H4" s="2">
        <v>46.2360924</v>
      </c>
      <c r="I4" s="2">
        <v>12.83333333333333</v>
      </c>
      <c r="J4" s="2">
        <v>21.38888888888889</v>
      </c>
    </row>
    <row r="5" spans="1:10">
      <c r="A5" s="2" t="s">
        <v>128</v>
      </c>
      <c r="B5" s="2">
        <v>5000</v>
      </c>
      <c r="C5" s="2">
        <v>50</v>
      </c>
      <c r="D5" s="2">
        <v>250000</v>
      </c>
      <c r="E5" s="2">
        <v>0.126100252</v>
      </c>
      <c r="F5" s="2" t="s">
        <v>132</v>
      </c>
      <c r="G5" s="2">
        <v>6.3050126</v>
      </c>
      <c r="H5" s="2">
        <v>75.6601512</v>
      </c>
      <c r="I5" s="2">
        <v>42</v>
      </c>
      <c r="J5" s="2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19.7109375" customWidth="1"/>
    <col min="2" max="2" width="29.7109375" customWidth="1"/>
    <col min="3" max="3" width="50.7109375" customWidth="1"/>
    <col min="4" max="4" width="21.7109375" customWidth="1"/>
    <col min="5" max="5" width="31.7109375" customWidth="1"/>
    <col min="6" max="6" width="19.7109375" customWidth="1"/>
  </cols>
  <sheetData>
    <row r="1" spans="1:6">
      <c r="A1" s="1" t="s">
        <v>133</v>
      </c>
      <c r="B1" s="1" t="s">
        <v>134</v>
      </c>
      <c r="C1" s="1" t="s">
        <v>135</v>
      </c>
      <c r="D1" s="1" t="s">
        <v>1</v>
      </c>
      <c r="E1" s="1" t="s">
        <v>136</v>
      </c>
      <c r="F1" s="1" t="s">
        <v>137</v>
      </c>
    </row>
    <row r="2" spans="1:6">
      <c r="A2" s="2" t="s">
        <v>138</v>
      </c>
      <c r="B2" s="2" t="s">
        <v>143</v>
      </c>
      <c r="C2" s="2" t="s">
        <v>145</v>
      </c>
      <c r="D2" s="2" t="e">
        <f>#NUM!</f>
        <v>#NUM!</v>
      </c>
      <c r="E2" s="2" t="e">
        <f>#NUM!</f>
        <v>#NUM!</v>
      </c>
      <c r="F2" s="2" t="e">
        <f>#NUM!</f>
        <v>#NUM!</v>
      </c>
    </row>
    <row r="3" spans="1:6">
      <c r="A3" s="2" t="s">
        <v>139</v>
      </c>
      <c r="B3" s="2" t="s">
        <v>144</v>
      </c>
      <c r="C3" s="2" t="s">
        <v>146</v>
      </c>
      <c r="D3" s="2" t="e">
        <f>#NUM!</f>
        <v>#NUM!</v>
      </c>
      <c r="E3" s="2" t="e">
        <f>#NUM!</f>
        <v>#NUM!</v>
      </c>
      <c r="F3" s="2" t="e">
        <f>#NUM!</f>
        <v>#NUM!</v>
      </c>
    </row>
    <row r="4" spans="1:6">
      <c r="A4" s="2" t="s">
        <v>140</v>
      </c>
      <c r="B4" s="2" t="e">
        <f>#NUM!</f>
        <v>#NUM!</v>
      </c>
      <c r="C4" s="2" t="s">
        <v>147</v>
      </c>
      <c r="D4" s="2" t="s">
        <v>151</v>
      </c>
      <c r="E4" s="2" t="e">
        <f>#NUM!</f>
        <v>#NUM!</v>
      </c>
      <c r="F4" s="2" t="e">
        <f>#NUM!</f>
        <v>#NUM!</v>
      </c>
    </row>
    <row r="5" spans="1:6">
      <c r="A5" s="2" t="s">
        <v>141</v>
      </c>
      <c r="B5" s="2" t="e">
        <f>#NUM!</f>
        <v>#NUM!</v>
      </c>
      <c r="C5" s="2" t="s">
        <v>148</v>
      </c>
      <c r="D5" s="2" t="e">
        <f>#NUM!</f>
        <v>#NUM!</v>
      </c>
      <c r="E5" s="2" t="s">
        <v>153</v>
      </c>
      <c r="F5" s="2" t="e">
        <f>#NUM!</f>
        <v>#NUM!</v>
      </c>
    </row>
    <row r="6" spans="1:6">
      <c r="A6" s="2" t="s">
        <v>142</v>
      </c>
      <c r="B6" s="2" t="e">
        <f>#NUM!</f>
        <v>#NUM!</v>
      </c>
      <c r="C6" s="2" t="s">
        <v>149</v>
      </c>
      <c r="D6" s="2" t="s">
        <v>152</v>
      </c>
      <c r="E6" s="2" t="e">
        <f>#NUM!</f>
        <v>#NUM!</v>
      </c>
      <c r="F6" s="2" t="e">
        <f>#NUM!</f>
        <v>#NUM!</v>
      </c>
    </row>
    <row r="7" spans="1:6">
      <c r="A7" s="2" t="s">
        <v>72</v>
      </c>
      <c r="B7" s="2" t="e">
        <f>#NUM!</f>
        <v>#NUM!</v>
      </c>
      <c r="C7" s="2" t="s">
        <v>150</v>
      </c>
      <c r="D7" s="2" t="e">
        <f>#NUM!</f>
        <v>#NUM!</v>
      </c>
      <c r="E7" s="2" t="e">
        <f>#NUM!</f>
        <v>#NUM!</v>
      </c>
      <c r="F7" s="2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33.7109375" customWidth="1"/>
    <col min="2" max="2" width="27.7109375" customWidth="1"/>
    <col min="3" max="3" width="16.7109375" customWidth="1"/>
    <col min="4" max="4" width="50.7109375" customWidth="1"/>
    <col min="5" max="5" width="18.7109375" customWidth="1"/>
    <col min="6" max="6" width="29.7109375" customWidth="1"/>
    <col min="7" max="7" width="21.7109375" customWidth="1"/>
    <col min="8" max="8" width="11.7109375" customWidth="1"/>
    <col min="9" max="9" width="50.7109375" customWidth="1"/>
  </cols>
  <sheetData>
    <row r="1" spans="1:9">
      <c r="A1" s="1" t="s">
        <v>39</v>
      </c>
      <c r="B1" s="1" t="s">
        <v>137</v>
      </c>
      <c r="C1" s="1" t="s">
        <v>155</v>
      </c>
      <c r="D1" s="1" t="s">
        <v>120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</row>
    <row r="2" spans="1:9">
      <c r="A2" s="2" t="s">
        <v>82</v>
      </c>
      <c r="B2" s="2" t="s">
        <v>165</v>
      </c>
      <c r="C2" s="2" t="s">
        <v>170</v>
      </c>
      <c r="D2" s="2" t="s">
        <v>175</v>
      </c>
      <c r="E2" s="2" t="s">
        <v>180</v>
      </c>
      <c r="F2" s="2" t="s">
        <v>185</v>
      </c>
      <c r="G2" s="2" t="s">
        <v>189</v>
      </c>
      <c r="H2" s="2" t="s">
        <v>194</v>
      </c>
      <c r="I2" s="2" t="s">
        <v>199</v>
      </c>
    </row>
    <row r="3" spans="1:9">
      <c r="A3" s="2" t="s">
        <v>161</v>
      </c>
      <c r="B3" s="2" t="s">
        <v>166</v>
      </c>
      <c r="C3" s="2" t="s">
        <v>171</v>
      </c>
      <c r="D3" s="2" t="s">
        <v>176</v>
      </c>
      <c r="E3" s="2" t="s">
        <v>181</v>
      </c>
      <c r="F3" s="2" t="s">
        <v>186</v>
      </c>
      <c r="G3" s="2" t="s">
        <v>190</v>
      </c>
      <c r="H3" s="2" t="s">
        <v>195</v>
      </c>
      <c r="I3" s="2" t="s">
        <v>200</v>
      </c>
    </row>
    <row r="4" spans="1:9">
      <c r="A4" s="2" t="s">
        <v>162</v>
      </c>
      <c r="B4" s="2" t="s">
        <v>167</v>
      </c>
      <c r="C4" s="2" t="s">
        <v>172</v>
      </c>
      <c r="D4" s="2" t="s">
        <v>177</v>
      </c>
      <c r="E4" s="2" t="s">
        <v>182</v>
      </c>
      <c r="F4" s="2" t="s">
        <v>187</v>
      </c>
      <c r="G4" s="2" t="s">
        <v>191</v>
      </c>
      <c r="H4" s="2" t="s">
        <v>196</v>
      </c>
      <c r="I4" s="2" t="s">
        <v>201</v>
      </c>
    </row>
    <row r="5" spans="1:9">
      <c r="A5" s="2" t="s">
        <v>163</v>
      </c>
      <c r="B5" s="2" t="s">
        <v>168</v>
      </c>
      <c r="C5" s="2" t="s">
        <v>173</v>
      </c>
      <c r="D5" s="2" t="s">
        <v>178</v>
      </c>
      <c r="E5" s="2" t="s">
        <v>183</v>
      </c>
      <c r="F5" s="2" t="s">
        <v>188</v>
      </c>
      <c r="G5" s="2" t="s">
        <v>192</v>
      </c>
      <c r="H5" s="2" t="s">
        <v>197</v>
      </c>
      <c r="I5" s="2" t="s">
        <v>202</v>
      </c>
    </row>
    <row r="6" spans="1:9">
      <c r="A6" s="2" t="s">
        <v>164</v>
      </c>
      <c r="B6" s="2" t="s">
        <v>169</v>
      </c>
      <c r="C6" s="2" t="s">
        <v>174</v>
      </c>
      <c r="D6" s="2" t="s">
        <v>179</v>
      </c>
      <c r="E6" s="2" t="s">
        <v>184</v>
      </c>
      <c r="F6" s="2" t="s">
        <v>186</v>
      </c>
      <c r="G6" s="2" t="s">
        <v>193</v>
      </c>
      <c r="H6" s="2" t="s">
        <v>198</v>
      </c>
      <c r="I6" s="2" t="s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" width="20.7109375" customWidth="1"/>
    <col min="3" max="3" width="27.7109375" customWidth="1"/>
  </cols>
  <sheetData>
    <row r="1" spans="1:3">
      <c r="A1" s="1" t="s">
        <v>133</v>
      </c>
      <c r="B1" s="1" t="s">
        <v>204</v>
      </c>
      <c r="C1" s="1" t="s">
        <v>205</v>
      </c>
    </row>
    <row r="2" spans="1:3">
      <c r="A2" s="2" t="s">
        <v>206</v>
      </c>
      <c r="B2" s="2" t="s">
        <v>214</v>
      </c>
      <c r="C2" s="2" t="s">
        <v>224</v>
      </c>
    </row>
    <row r="3" spans="1:3">
      <c r="A3" s="2" t="s">
        <v>207</v>
      </c>
      <c r="B3" s="2" t="s">
        <v>215</v>
      </c>
      <c r="C3" s="2" t="s">
        <v>225</v>
      </c>
    </row>
    <row r="4" spans="1:3">
      <c r="A4" s="2" t="s">
        <v>208</v>
      </c>
      <c r="B4" s="2" t="s">
        <v>216</v>
      </c>
      <c r="C4" s="2" t="s">
        <v>226</v>
      </c>
    </row>
    <row r="5" spans="1:3">
      <c r="A5" s="2" t="s">
        <v>209</v>
      </c>
      <c r="B5" s="2" t="s">
        <v>217</v>
      </c>
      <c r="C5" s="2" t="s">
        <v>227</v>
      </c>
    </row>
    <row r="6" spans="1:3">
      <c r="A6" s="2" t="s">
        <v>210</v>
      </c>
      <c r="B6" s="2" t="s">
        <v>218</v>
      </c>
      <c r="C6" s="2" t="s">
        <v>228</v>
      </c>
    </row>
    <row r="7" spans="1:3">
      <c r="A7" s="2" t="s">
        <v>76</v>
      </c>
      <c r="B7" s="2" t="s">
        <v>219</v>
      </c>
      <c r="C7" s="2" t="s">
        <v>229</v>
      </c>
    </row>
    <row r="8" spans="1:3">
      <c r="A8" s="2" t="s">
        <v>211</v>
      </c>
      <c r="B8" s="2" t="s">
        <v>220</v>
      </c>
      <c r="C8" s="2" t="s">
        <v>230</v>
      </c>
    </row>
    <row r="9" spans="1:3">
      <c r="A9" s="2" t="s">
        <v>73</v>
      </c>
      <c r="B9" s="2" t="s">
        <v>221</v>
      </c>
      <c r="C9" s="2" t="s">
        <v>231</v>
      </c>
    </row>
    <row r="10" spans="1:3">
      <c r="A10" s="2" t="s">
        <v>212</v>
      </c>
      <c r="B10" s="2" t="s">
        <v>222</v>
      </c>
      <c r="C10" s="2" t="s">
        <v>232</v>
      </c>
    </row>
    <row r="11" spans="1:3">
      <c r="A11" s="2" t="s">
        <v>213</v>
      </c>
      <c r="B11" s="2" t="s">
        <v>223</v>
      </c>
      <c r="C11" s="2" t="s">
        <v>233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31.7109375" customWidth="1"/>
    <col min="2" max="2" width="19.7109375" customWidth="1"/>
    <col min="3" max="3" width="10.7109375" customWidth="1"/>
    <col min="4" max="4" width="21.7109375" customWidth="1"/>
    <col min="5" max="6" width="13.7109375" customWidth="1"/>
  </cols>
  <sheetData>
    <row r="1" spans="1:6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</row>
    <row r="2" spans="1:6">
      <c r="A2" s="2" t="s">
        <v>240</v>
      </c>
      <c r="B2" s="2">
        <v>120</v>
      </c>
      <c r="C2" s="2" t="s">
        <v>245</v>
      </c>
      <c r="D2" s="2" t="s">
        <v>250</v>
      </c>
      <c r="E2" s="2" t="s">
        <v>255</v>
      </c>
      <c r="F2" s="2" t="s">
        <v>113</v>
      </c>
    </row>
    <row r="3" spans="1:6">
      <c r="A3" s="2" t="s">
        <v>241</v>
      </c>
      <c r="B3" s="2">
        <v>60</v>
      </c>
      <c r="C3" s="2" t="s">
        <v>246</v>
      </c>
      <c r="D3" s="2" t="s">
        <v>251</v>
      </c>
      <c r="E3" s="2" t="s">
        <v>255</v>
      </c>
      <c r="F3" s="2" t="s">
        <v>114</v>
      </c>
    </row>
    <row r="4" spans="1:6">
      <c r="A4" s="2" t="s">
        <v>242</v>
      </c>
      <c r="B4" s="2">
        <v>80</v>
      </c>
      <c r="C4" s="2" t="s">
        <v>247</v>
      </c>
      <c r="D4" s="2" t="s">
        <v>252</v>
      </c>
      <c r="E4" s="2" t="s">
        <v>255</v>
      </c>
      <c r="F4" s="2" t="s">
        <v>114</v>
      </c>
    </row>
    <row r="5" spans="1:6">
      <c r="A5" s="2" t="s">
        <v>243</v>
      </c>
      <c r="B5" s="2">
        <v>70</v>
      </c>
      <c r="C5" s="2" t="s">
        <v>248</v>
      </c>
      <c r="D5" s="2" t="s">
        <v>253</v>
      </c>
      <c r="E5" s="2" t="s">
        <v>256</v>
      </c>
      <c r="F5" s="2" t="s">
        <v>114</v>
      </c>
    </row>
    <row r="6" spans="1:6">
      <c r="A6" s="2" t="s">
        <v>244</v>
      </c>
      <c r="B6" s="2">
        <v>30</v>
      </c>
      <c r="C6" s="2" t="s">
        <v>249</v>
      </c>
      <c r="D6" s="2" t="s">
        <v>254</v>
      </c>
      <c r="E6" s="2" t="s">
        <v>257</v>
      </c>
      <c r="F6" s="2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29.7109375" customWidth="1"/>
    <col min="2" max="2" width="13.7109375" customWidth="1"/>
    <col min="3" max="3" width="8.7109375" customWidth="1"/>
    <col min="4" max="4" width="25.7109375" customWidth="1"/>
    <col min="5" max="5" width="12.7109375" customWidth="1"/>
    <col min="6" max="6" width="50.7109375" customWidth="1"/>
    <col min="7" max="7" width="11.7109375" customWidth="1"/>
    <col min="8" max="8" width="50.7109375" customWidth="1"/>
  </cols>
  <sheetData>
    <row r="1" spans="1:8">
      <c r="A1" s="1" t="s">
        <v>258</v>
      </c>
      <c r="B1" s="1" t="s">
        <v>259</v>
      </c>
      <c r="C1" s="1" t="s">
        <v>137</v>
      </c>
      <c r="D1" s="1" t="s">
        <v>260</v>
      </c>
      <c r="E1" s="1" t="s">
        <v>155</v>
      </c>
      <c r="F1" s="1" t="s">
        <v>261</v>
      </c>
      <c r="G1" s="1" t="s">
        <v>159</v>
      </c>
      <c r="H1" s="1" t="s">
        <v>160</v>
      </c>
    </row>
    <row r="2" spans="1:8">
      <c r="A2" s="2" t="s">
        <v>262</v>
      </c>
      <c r="B2" s="2" t="s">
        <v>111</v>
      </c>
      <c r="C2" s="2" t="s">
        <v>112</v>
      </c>
      <c r="D2" s="2" t="s">
        <v>82</v>
      </c>
      <c r="E2" s="2" t="s">
        <v>271</v>
      </c>
      <c r="F2" s="2" t="s">
        <v>274</v>
      </c>
      <c r="G2" s="2" t="s">
        <v>194</v>
      </c>
      <c r="H2" s="2" t="s">
        <v>281</v>
      </c>
    </row>
    <row r="3" spans="1:8">
      <c r="A3" s="2" t="s">
        <v>263</v>
      </c>
      <c r="B3" s="2" t="s">
        <v>113</v>
      </c>
      <c r="C3" s="2" t="s">
        <v>111</v>
      </c>
      <c r="D3" s="2" t="s">
        <v>267</v>
      </c>
      <c r="E3" s="2" t="s">
        <v>114</v>
      </c>
      <c r="F3" s="2" t="s">
        <v>275</v>
      </c>
      <c r="G3" s="2" t="s">
        <v>279</v>
      </c>
      <c r="H3" s="2" t="s">
        <v>282</v>
      </c>
    </row>
    <row r="4" spans="1:8">
      <c r="A4" s="2" t="s">
        <v>264</v>
      </c>
      <c r="B4" s="2" t="s">
        <v>113</v>
      </c>
      <c r="C4" s="2" t="s">
        <v>112</v>
      </c>
      <c r="D4" s="2" t="s">
        <v>268</v>
      </c>
      <c r="E4" s="2" t="s">
        <v>272</v>
      </c>
      <c r="F4" s="2" t="s">
        <v>276</v>
      </c>
      <c r="G4" s="2" t="s">
        <v>280</v>
      </c>
      <c r="H4" s="2" t="s">
        <v>283</v>
      </c>
    </row>
    <row r="5" spans="1:8">
      <c r="A5" s="2" t="s">
        <v>265</v>
      </c>
      <c r="B5" s="2" t="s">
        <v>112</v>
      </c>
      <c r="C5" s="2" t="s">
        <v>112</v>
      </c>
      <c r="D5" s="2" t="s">
        <v>269</v>
      </c>
      <c r="E5" s="2" t="s">
        <v>114</v>
      </c>
      <c r="F5" s="2" t="s">
        <v>277</v>
      </c>
      <c r="G5" s="2" t="s">
        <v>196</v>
      </c>
      <c r="H5" s="2" t="s">
        <v>284</v>
      </c>
    </row>
    <row r="6" spans="1:8">
      <c r="A6" s="2" t="s">
        <v>266</v>
      </c>
      <c r="B6" s="2" t="s">
        <v>112</v>
      </c>
      <c r="C6" s="2" t="s">
        <v>113</v>
      </c>
      <c r="D6" s="2" t="s">
        <v>270</v>
      </c>
      <c r="E6" s="2" t="s">
        <v>273</v>
      </c>
      <c r="F6" s="2" t="s">
        <v>278</v>
      </c>
      <c r="G6" s="2" t="s">
        <v>196</v>
      </c>
      <c r="H6" s="2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Performance by Scale</vt:lpstr>
      <vt:lpstr>Function Breakdown</vt:lpstr>
      <vt:lpstr>Performance Summary</vt:lpstr>
      <vt:lpstr>Cost Analysis</vt:lpstr>
      <vt:lpstr>Pricing Breakdown</vt:lpstr>
      <vt:lpstr>Optimization Options</vt:lpstr>
      <vt:lpstr>Technical Specifications</vt:lpstr>
      <vt:lpstr>Competitive Analysis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2025-11-26T03:12:51Z</dcterms:created>
  <dcterms:modified xsi:type="dcterms:W3CDTF">2025-11-26T03:12:51Z</dcterms:modified>
</cp:coreProperties>
</file>